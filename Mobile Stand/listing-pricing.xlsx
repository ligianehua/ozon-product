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81845c01d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и" sheetId="1" r:id="Rbd471c5016ec4e1e"/>
    <x:sheet xmlns:r="http://schemas.openxmlformats.org/officeDocument/2006/relationships" name="Параметры" sheetId="2" r:id="Re0168b7981114b67"/>
    <x:sheet xmlns:r="http://schemas.openxmlformats.org/officeDocument/2006/relationships" name="Тексты RU" sheetId="3" r:id="Rdaab67a2db784ded"/>
    <x:sheet xmlns:r="http://schemas.openxmlformats.org/officeDocument/2006/relationships" name="Текст изображений" sheetId="4" r:id="R78b67888b72b4f1a"/>
    <x:sheet xmlns:r="http://schemas.openxmlformats.org/officeDocument/2006/relationships" name="Ключевые слова" sheetId="5" r:id="R6b292c73f64d46f1"/>
    <x:sheet xmlns:r="http://schemas.openxmlformats.org/officeDocument/2006/relationships" name="Цены аналогов" sheetId="6" r:id="R5292a31e14aa42c4"/>
    <x:sheet xmlns:r="http://schemas.openxmlformats.org/officeDocument/2006/relationships" name="Расчёт цены" sheetId="7" r:id="Rd6fcfacb09804fc3"/>
    <x:sheet xmlns:r="http://schemas.openxmlformats.org/officeDocument/2006/relationships" name="Уточнения" sheetId="8" r:id="R27c14e6f36ea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sz val="11"/>
      <x:color rgb="FF20293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13d85e0b74b85" /><Relationship Type="http://schemas.openxmlformats.org/officeDocument/2006/relationships/theme" Target="/xl/theme/theme1.xml" Id="R773aeb17657d4af3" /><Relationship Type="http://schemas.openxmlformats.org/officeDocument/2006/relationships/sharedStrings" Target="/xl/sharedStrings.xml" Id="R07e682eeb37a42f3" /><Relationship Type="http://schemas.openxmlformats.org/officeDocument/2006/relationships/worksheet" Target="/xl/worksheets/sheet1.xml" Id="Rbd471c5016ec4e1e" /><Relationship Type="http://schemas.openxmlformats.org/officeDocument/2006/relationships/worksheet" Target="/xl/worksheets/sheet2.xml" Id="Re0168b7981114b67" /><Relationship Type="http://schemas.openxmlformats.org/officeDocument/2006/relationships/worksheet" Target="/xl/worksheets/sheet3.xml" Id="Rdaab67a2db784ded" /><Relationship Type="http://schemas.openxmlformats.org/officeDocument/2006/relationships/worksheet" Target="/xl/worksheets/sheet4.xml" Id="R78b67888b72b4f1a" /><Relationship Type="http://schemas.openxmlformats.org/officeDocument/2006/relationships/worksheet" Target="/xl/worksheets/sheet5.xml" Id="R6b292c73f64d46f1" /><Relationship Type="http://schemas.openxmlformats.org/officeDocument/2006/relationships/worksheet" Target="/xl/worksheets/sheet6.xml" Id="R5292a31e14aa42c4" /><Relationship Type="http://schemas.openxmlformats.org/officeDocument/2006/relationships/worksheet" Target="/xl/worksheets/sheet7.xml" Id="Rd6fcfacb09804fc3" /><Relationship Type="http://schemas.openxmlformats.org/officeDocument/2006/relationships/worksheet" Target="/xl/worksheets/sheet8.xml" Id="R27c14e6f36ea4c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3" hidden="0" customWidth="1"/>
    <x:col min="3" max="3" width="40" hidden="0" customWidth="1"/>
    <x:col min="4" max="4" width="65" hidden="0" customWidth="1"/>
  </x:cols>
  <x:sheetData>
    <x:row r="1" ht="36" customHeight="1">
      <x:c r="A1" s="5" t="str">
        <x:v>Группа</x:v>
      </x:c>
      <x:c r="B1" s="5" t="str">
        <x:v>Описание</x:v>
      </x:c>
      <x:c r="C1" s="5" t="str">
        <x:v>Номера исходных изображений</x:v>
      </x:c>
      <x:c r="D1" s="5" t="str">
        <x:v>Цвета</x:v>
      </x:c>
    </x:row>
    <x:row r="2" ht="58" customHeight="1">
      <x:c r="A2" s="3" t="str">
        <x:v>A</x:v>
      </x:c>
      <x:c r="B2" s="3" t="str">
        <x:v>Прямоугольное основание, металлическая панель</x:v>
      </x:c>
      <x:c r="C2" s="3" t="str">
        <x:v>186–200, 205–206, 212, 214–215, 220, 225</x:v>
      </x:c>
      <x:c r="D2" s="3" t="str">
        <x:v>Чёрный, тёмно-серый, голубой, светло-зелёный, сиреневый, розовый, жёлтый</x:v>
      </x:c>
    </x:row>
    <x:row r="3" ht="58" customHeight="1">
      <x:c r="A3" s="3" t="str">
        <x:v>B</x:v>
      </x:c>
      <x:c r="B3" s="3" t="str">
        <x:v>Круглое основание, металлическая панель с прорезями</x:v>
      </x:c>
      <x:c r="C3" s="3" t="str">
        <x:v>201–202, 211, 218</x:v>
      </x:c>
      <x:c r="D3" s="3" t="str">
        <x:v>Тёмно-серый, сиреневый</x:v>
      </x:c>
    </x:row>
    <x:row r="4" ht="58" customHeight="1">
      <x:c r="A4" s="3" t="str">
        <x:v>C</x:v>
      </x:c>
      <x:c r="B4" s="3" t="str">
        <x:v>Круглое основание, панель с одним верхним отверстием</x:v>
      </x:c>
      <x:c r="C4" s="3" t="str">
        <x:v>208, 222</x:v>
      </x:c>
      <x:c r="D4" s="3" t="str">
        <x:v>Тёмно-серый</x:v>
      </x:c>
    </x:row>
    <x:row r="5" ht="58" customHeight="1">
      <x:c r="A5" s="3" t="str">
        <x:v>D</x:v>
      </x:c>
      <x:c r="B5" s="3" t="str">
        <x:v>Рифлёная панель, поворотная подставка</x:v>
      </x:c>
      <x:c r="C5" s="3" t="str">
        <x:v>204, 213, 217</x:v>
      </x:c>
      <x:c r="D5" s="3" t="str">
        <x:v>Жёлтый, чёрный</x:v>
      </x:c>
    </x:row>
    <x:row r="6" ht="58" customHeight="1">
      <x:c r="A6" s="3" t="str">
        <x:v>E</x:v>
      </x:c>
      <x:c r="B6" s="3" t="str">
        <x:v>Телескопическая стойка, утяжелённое основание</x:v>
      </x:c>
      <x:c r="C6" s="3" t="str">
        <x:v>209–210</x:v>
      </x:c>
      <x:c r="D6" s="3" t="str">
        <x:v>Белый, чёрный</x:v>
      </x:c>
    </x:row>
    <x:row r="7" ht="58" customHeight="1">
      <x:c r="A7" s="3" t="str">
        <x:v>F</x:v>
      </x:c>
      <x:c r="B7" s="3" t="str">
        <x:v>Две стойки, широкая панель для планшета</x:v>
      </x:c>
      <x:c r="C7" s="3" t="str">
        <x:v>216, 226</x:v>
      </x:c>
      <x:c r="D7" s="3" t="str">
        <x:v>Серебристый, чёрный</x:v>
      </x:c>
    </x:row>
    <x:row r="8" ht="58" customHeight="1">
      <x:c r="A8" s="3" t="str">
        <x:v>G</x:v>
      </x:c>
      <x:c r="B8" s="3" t="str">
        <x:v>N3, складная подставка для ноутбука</x:v>
      </x:c>
      <x:c r="C8" s="3" t="str">
        <x:v>203, 207, 221, 224</x:v>
      </x:c>
      <x:c r="D8" s="3" t="str">
        <x:v>Серебристый, белый, чёрный</x:v>
      </x:c>
    </x:row>
    <x:row r="9" ht="58" customHeight="1">
      <x:c r="A9" s="3" t="str">
        <x:v>H</x:v>
      </x:c>
      <x:c r="B9" s="3" t="str">
        <x:v>Круглое основание с древесным рисунком</x:v>
      </x:c>
      <x:c r="C9" s="3" t="str">
        <x:v>223</x:v>
      </x:c>
      <x:c r="D9" s="3" t="str">
        <x:v>Серый / древесный рисунок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58" hidden="0" customWidth="1"/>
    <x:col min="4" max="4" width="9" hidden="0" customWidth="1"/>
    <x:col min="5" max="5" width="24" hidden="0" customWidth="1"/>
    <x:col min="6" max="6" width="60" hidden="0" customWidth="1"/>
  </x:cols>
  <x:sheetData>
    <x:row r="1" ht="36" customHeight="1">
      <x:c r="A1" s="5" t="str">
        <x:v>Группа</x:v>
      </x:c>
      <x:c r="B1" s="5" t="str">
        <x:v>Параметр</x:v>
      </x:c>
      <x:c r="C1" s="5" t="str">
        <x:v>Значение</x:v>
      </x:c>
      <x:c r="D1" s="5" t="str">
        <x:v>Ед.</x:v>
      </x:c>
      <x:c r="E1" s="5" t="str">
        <x:v>Изображение №</x:v>
      </x:c>
      <x:c r="F1" s="5" t="str">
        <x:v>Примечание</x:v>
      </x:c>
    </x:row>
    <x:row r="2" ht="58" customHeight="1">
      <x:c r="A2" s="3" t="str">
        <x:v>A</x:v>
      </x:c>
      <x:c r="B2" s="3" t="str">
        <x:v>Тип</x:v>
      </x:c>
      <x:c r="C2" s="3" t="str">
        <x:v>Настольная подставка для телефона и планшета</x:v>
      </x:c>
      <x:c r="D2" s="3" t="str"/>
      <x:c r="E2" s="3" t="str">
        <x:v>186–200</x:v>
      </x:c>
      <x:c r="F2" s="3" t="str">
        <x:v>По изображениям</x:v>
      </x:c>
    </x:row>
    <x:row r="3" ht="58" customHeight="1">
      <x:c r="A3" s="3" t="str">
        <x:v>A</x:v>
      </x:c>
      <x:c r="B3" s="3" t="str">
        <x:v>Конструкция</x:v>
      </x:c>
      <x:c r="C3" s="3" t="str">
        <x:v>Складная, с регулировкой наклона</x:v>
      </x:c>
      <x:c r="D3" s="3" t="str"/>
      <x:c r="E3" s="3" t="str">
        <x:v>192, 199–200</x:v>
      </x:c>
      <x:c r="F3" s="3" t="str">
        <x:v>По изображениям</x:v>
      </x:c>
    </x:row>
    <x:row r="4" ht="58" customHeight="1">
      <x:c r="A4" s="3" t="str">
        <x:v>A</x:v>
      </x:c>
      <x:c r="B4" s="3" t="str">
        <x:v>Материалы</x:v>
      </x:c>
      <x:c r="C4" s="3" t="str">
        <x:v>Металл, POM, силикон</x:v>
      </x:c>
      <x:c r="D4" s="3" t="str"/>
      <x:c r="E4" s="3" t="str">
        <x:v>194</x:v>
      </x:c>
      <x:c r="F4" s="3" t="str">
        <x:v>Данные поставщика; не проверены</x:v>
      </x:c>
    </x:row>
    <x:row r="5" ht="58" customHeight="1">
      <x:c r="A5" s="3" t="str">
        <x:v>A</x:v>
      </x:c>
      <x:c r="B5" s="3" t="str">
        <x:v>Масса, вариант 1</x:v>
      </x:c>
      <x:c r="C5" s="3" t="n">
        <x:v>243.2</x:v>
      </x:c>
      <x:c r="D5" s="3" t="str">
        <x:v>г</x:v>
      </x:c>
      <x:c r="E5" s="3" t="str">
        <x:v>194</x:v>
      </x:c>
      <x:c r="F5" s="3" t="str">
        <x:v>Противоречие с изображением 186</x:v>
      </x:c>
    </x:row>
    <x:row r="6" ht="58" customHeight="1">
      <x:c r="A6" s="3" t="str">
        <x:v>A</x:v>
      </x:c>
      <x:c r="B6" s="3" t="str">
        <x:v>Масса, вариант 2</x:v>
      </x:c>
      <x:c r="C6" s="3" t="n">
        <x:v>226</x:v>
      </x:c>
      <x:c r="D6" s="3" t="str">
        <x:v>г</x:v>
      </x:c>
      <x:c r="E6" s="3" t="str">
        <x:v>186</x:v>
      </x:c>
      <x:c r="F6" s="3" t="str">
        <x:v>Противоречие с изображением 194</x:v>
      </x:c>
    </x:row>
    <x:row r="7" ht="58" customHeight="1">
      <x:c r="A7" s="3" t="str">
        <x:v>Не определена</x:v>
      </x:c>
      <x:c r="B7" s="3" t="str">
        <x:v>Масса в карточке</x:v>
      </x:c>
      <x:c r="C7" s="3" t="n">
        <x:v>1000</x:v>
      </x:c>
      <x:c r="D7" s="3" t="str">
        <x:v>г</x:v>
      </x:c>
      <x:c r="E7" s="3" t="str">
        <x:v>227</x:v>
      </x:c>
      <x:c r="F7" s="3" t="str">
        <x:v>Неясно: модель, нетто или брутто</x:v>
      </x:c>
    </x:row>
    <x:row r="8" ht="58" customHeight="1">
      <x:c r="A8" s="3" t="str">
        <x:v>A</x:v>
      </x:c>
      <x:c r="B8" s="3" t="str">
        <x:v>Верхняя пластина, длина</x:v>
      </x:c>
      <x:c r="C8" s="3" t="n">
        <x:v>109</x:v>
      </x:c>
      <x:c r="D8" s="3" t="str">
        <x:v>мм</x:v>
      </x:c>
      <x:c r="E8" s="3" t="str">
        <x:v>194</x:v>
      </x:c>
      <x:c r="F8" s="3" t="str">
        <x:v>В изображении 186 указано 105 мм</x:v>
      </x:c>
    </x:row>
    <x:row r="9" ht="58" customHeight="1">
      <x:c r="A9" s="3" t="str">
        <x:v>A</x:v>
      </x:c>
      <x:c r="B9" s="3" t="str">
        <x:v>Верхняя пластина, ширина</x:v>
      </x:c>
      <x:c r="C9" s="3" t="n">
        <x:v>71</x:v>
      </x:c>
      <x:c r="D9" s="3" t="str">
        <x:v>мм</x:v>
      </x:c>
      <x:c r="E9" s="3" t="str">
        <x:v>194</x:v>
      </x:c>
      <x:c r="F9" s="3" t="str">
        <x:v>Данные поставщика; не проверены</x:v>
      </x:c>
    </x:row>
    <x:row r="10" ht="58" customHeight="1">
      <x:c r="A10" s="3" t="str">
        <x:v>A</x:v>
      </x:c>
      <x:c r="B10" s="3" t="str">
        <x:v>Верхняя пластина, толщина</x:v>
      </x:c>
      <x:c r="C10" s="3" t="n">
        <x:v>2</x:v>
      </x:c>
      <x:c r="D10" s="3" t="str">
        <x:v>мм</x:v>
      </x:c>
      <x:c r="E10" s="3" t="str">
        <x:v>194</x:v>
      </x:c>
      <x:c r="F10" s="3" t="str">
        <x:v>Данные поставщика; не проверены</x:v>
      </x:c>
    </x:row>
    <x:row r="11" ht="58" customHeight="1">
      <x:c r="A11" s="3" t="str">
        <x:v>A</x:v>
      </x:c>
      <x:c r="B11" s="3" t="str">
        <x:v>Нижняя часть, текст поставщика</x:v>
      </x:c>
      <x:c r="C11" s="3" t="str">
        <x:v>120 × 121 × 2</x:v>
      </x:c>
      <x:c r="D11" s="3" t="str">
        <x:v>мм</x:v>
      </x:c>
      <x:c r="E11" s="3" t="str">
        <x:v>194</x:v>
      </x:c>
      <x:c r="F11" s="3" t="str">
        <x:v>Не согласуется со схемой; уточнить</x:v>
      </x:c>
    </x:row>
    <x:row r="12" ht="58" customHeight="1">
      <x:c r="A12" s="3" t="str">
        <x:v>A</x:v>
      </x:c>
      <x:c r="B12" s="3" t="str">
        <x:v>Основание, длина на рекламном изображении</x:v>
      </x:c>
      <x:c r="C12" s="3" t="n">
        <x:v>120</x:v>
      </x:c>
      <x:c r="D12" s="3" t="str">
        <x:v>мм</x:v>
      </x:c>
      <x:c r="E12" s="3" t="str">
        <x:v>186</x:v>
      </x:c>
      <x:c r="F12" s="3" t="str">
        <x:v>Данные поставщика; не проверены</x:v>
      </x:c>
    </x:row>
    <x:row r="13" ht="58" customHeight="1">
      <x:c r="A13" s="3" t="str">
        <x:v>A</x:v>
      </x:c>
      <x:c r="B13" s="3" t="str">
        <x:v>Основание, ширина на рекламном изображении</x:v>
      </x:c>
      <x:c r="C13" s="3" t="n">
        <x:v>82</x:v>
      </x:c>
      <x:c r="D13" s="3" t="str">
        <x:v>мм</x:v>
      </x:c>
      <x:c r="E13" s="3" t="str">
        <x:v>186</x:v>
      </x:c>
      <x:c r="F13" s="3" t="str">
        <x:v>Схема 194 содержит значение 83 мм</x:v>
      </x:c>
    </x:row>
    <x:row r="14" ht="58" customHeight="1">
      <x:c r="A14" s="3" t="str">
        <x:v>A</x:v>
      </x:c>
      <x:c r="B14" s="3" t="str">
        <x:v>Высота стойки на схеме</x:v>
      </x:c>
      <x:c r="C14" s="3" t="n">
        <x:v>82</x:v>
      </x:c>
      <x:c r="D14" s="3" t="str">
        <x:v>мм</x:v>
      </x:c>
      <x:c r="E14" s="3" t="str">
        <x:v>194</x:v>
      </x:c>
      <x:c r="F14" s="3" t="str">
        <x:v>Не максимальная высота изделия</x:v>
      </x:c>
    </x:row>
    <x:row r="15" ht="58" customHeight="1">
      <x:c r="A15" s="3" t="str">
        <x:v>A</x:v>
      </x:c>
      <x:c r="B15" s="3" t="str">
        <x:v>Вращение основания</x:v>
      </x:c>
      <x:c r="C15" s="3" t="n">
        <x:v>360</x:v>
      </x:c>
      <x:c r="D15" s="3" t="str">
        <x:v>°</x:v>
      </x:c>
      <x:c r="E15" s="3" t="str">
        <x:v>187, 198</x:v>
      </x:c>
      <x:c r="F15" s="3" t="str">
        <x:v>Есть реклама 720°; значение не суммировать</x:v>
      </x:c>
    </x:row>
    <x:row r="16" ht="58" customHeight="1">
      <x:c r="A16" s="3" t="str">
        <x:v>A</x:v>
      </x:c>
      <x:c r="B16" s="3" t="str">
        <x:v>Наклон верхнего шарнира</x:v>
      </x:c>
      <x:c r="C16" s="3" t="n">
        <x:v>180</x:v>
      </x:c>
      <x:c r="D16" s="3" t="str">
        <x:v>°</x:v>
      </x:c>
      <x:c r="E16" s="3" t="str">
        <x:v>192</x:v>
      </x:c>
      <x:c r="F16" s="3" t="str">
        <x:v>Заявлено поставщиком; проверить</x:v>
      </x:c>
    </x:row>
    <x:row r="17" ht="58" customHeight="1">
      <x:c r="A17" s="3" t="str">
        <x:v>A</x:v>
      </x:c>
      <x:c r="B17" s="3" t="str">
        <x:v>Наклон нижнего шарнира</x:v>
      </x:c>
      <x:c r="C17" s="3" t="n">
        <x:v>180</x:v>
      </x:c>
      <x:c r="D17" s="3" t="str">
        <x:v>°</x:v>
      </x:c>
      <x:c r="E17" s="3" t="str">
        <x:v>192</x:v>
      </x:c>
      <x:c r="F17" s="3" t="str">
        <x:v>Заявлено поставщиком; проверить</x:v>
      </x:c>
    </x:row>
    <x:row r="18" ht="58" customHeight="1">
      <x:c r="A18" s="3" t="str">
        <x:v>A</x:v>
      </x:c>
      <x:c r="B18" s="3" t="str">
        <x:v>Защита от скольжения</x:v>
      </x:c>
      <x:c r="C18" s="3" t="str">
        <x:v>Накладки на панели, упорах и основании</x:v>
      </x:c>
      <x:c r="D18" s="3" t="str"/>
      <x:c r="E18" s="3" t="str">
        <x:v>192, 215</x:v>
      </x:c>
      <x:c r="F18" s="3" t="str">
        <x:v>По изображениям</x:v>
      </x:c>
    </x:row>
    <x:row r="19" ht="58" customHeight="1">
      <x:c r="A19" s="3" t="str">
        <x:v>A</x:v>
      </x:c>
      <x:c r="B19" s="3" t="str">
        <x:v>Зарядный кабель</x:v>
      </x:c>
      <x:c r="C19" s="3" t="str">
        <x:v>Есть свободное место между упорами</x:v>
      </x:c>
      <x:c r="D19" s="3" t="str"/>
      <x:c r="E19" s="3" t="str">
        <x:v>189</x:v>
      </x:c>
      <x:c r="F19" s="3" t="str">
        <x:v>Зарядное устройство не заявлено в комплекте</x:v>
      </x:c>
    </x:row>
    <x:row r="20" ht="58" customHeight="1">
      <x:c r="A20" s="3" t="str">
        <x:v>B, C</x:v>
      </x:c>
      <x:c r="B20" s="3" t="str">
        <x:v>Конструкция</x:v>
      </x:c>
      <x:c r="C20" s="3" t="str">
        <x:v>Поворотная, складная</x:v>
      </x:c>
      <x:c r="D20" s="3" t="str"/>
      <x:c r="E20" s="3" t="str">
        <x:v>201, 208, 211, 218, 222</x:v>
      </x:c>
      <x:c r="F20" s="3" t="str">
        <x:v>Не переносить размеры семейства A</x:v>
      </x:c>
    </x:row>
    <x:row r="21" ht="58" customHeight="1">
      <x:c r="A21" s="3" t="str">
        <x:v>C</x:v>
      </x:c>
      <x:c r="B21" s="3" t="str">
        <x:v>Материал</x:v>
      </x:c>
      <x:c r="C21" s="3" t="str">
        <x:v>Алюминиевый сплав</x:v>
      </x:c>
      <x:c r="D21" s="3" t="str"/>
      <x:c r="E21" s="3" t="str">
        <x:v>222</x:v>
      </x:c>
      <x:c r="F21" s="3" t="str">
        <x:v>Заявлено поставщиком</x:v>
      </x:c>
    </x:row>
    <x:row r="22" ht="58" customHeight="1">
      <x:c r="A22" s="3" t="str">
        <x:v>D</x:v>
      </x:c>
      <x:c r="B22" s="3" t="str">
        <x:v>Основание</x:v>
      </x:c>
      <x:c r="C22" s="3" t="str">
        <x:v>Металлическое, поворотное</x:v>
      </x:c>
      <x:c r="D22" s="3" t="str"/>
      <x:c r="E22" s="3" t="str">
        <x:v>204, 217</x:v>
      </x:c>
      <x:c r="F22" s="3" t="str">
        <x:v>Материал панели не подтверждён</x:v>
      </x:c>
    </x:row>
    <x:row r="23" ht="58" customHeight="1">
      <x:c r="A23" s="3" t="str">
        <x:v>D</x:v>
      </x:c>
      <x:c r="B23" s="3" t="str">
        <x:v>Регулировка</x:v>
      </x:c>
      <x:c r="C23" s="3" t="str">
        <x:v>Складывание; три оси по описанию</x:v>
      </x:c>
      <x:c r="D23" s="3" t="str"/>
      <x:c r="E23" s="3" t="str">
        <x:v>204, 217</x:v>
      </x:c>
      <x:c r="F23" s="3" t="str">
        <x:v>Диапазон высоты не указан</x:v>
      </x:c>
    </x:row>
    <x:row r="24" ht="58" customHeight="1">
      <x:c r="A24" s="3" t="str">
        <x:v>E</x:v>
      </x:c>
      <x:c r="B24" s="3" t="str">
        <x:v>Конструкция</x:v>
      </x:c>
      <x:c r="C24" s="3" t="str">
        <x:v>Телескопическая стойка, утяжелённое основание</x:v>
      </x:c>
      <x:c r="D24" s="3" t="str"/>
      <x:c r="E24" s="3" t="str">
        <x:v>209–210</x:v>
      </x:c>
      <x:c r="F24" s="3" t="str">
        <x:v>Масса и размеры не указаны</x:v>
      </x:c>
    </x:row>
    <x:row r="25" ht="58" customHeight="1">
      <x:c r="A25" s="3" t="str">
        <x:v>F</x:v>
      </x:c>
      <x:c r="B25" s="3" t="str">
        <x:v>Опоры</x:v>
      </x:c>
      <x:c r="C25" s="3" t="str">
        <x:v>Две стойки</x:v>
      </x:c>
      <x:c r="D25" s="3" t="str"/>
      <x:c r="E25" s="3" t="str">
        <x:v>216, 226</x:v>
      </x:c>
      <x:c r="F25" s="3" t="str">
        <x:v>По изображениям</x:v>
      </x:c>
    </x:row>
    <x:row r="26" ht="58" customHeight="1">
      <x:c r="A26" s="3" t="str">
        <x:v>F</x:v>
      </x:c>
      <x:c r="B26" s="3" t="str">
        <x:v>Материал</x:v>
      </x:c>
      <x:c r="C26" s="3" t="str">
        <x:v>Металл</x:v>
      </x:c>
      <x:c r="D26" s="3" t="str"/>
      <x:c r="E26" s="3" t="str">
        <x:v>216, 226</x:v>
      </x:c>
      <x:c r="F26" s="3" t="str">
        <x:v>Сплав не указан</x:v>
      </x:c>
    </x:row>
    <x:row r="27" ht="58" customHeight="1">
      <x:c r="A27" s="3" t="str">
        <x:v>G</x:v>
      </x:c>
      <x:c r="B27" s="3" t="str">
        <x:v>Модель</x:v>
      </x:c>
      <x:c r="C27" s="3" t="str">
        <x:v>N3</x:v>
      </x:c>
      <x:c r="D27" s="3" t="str"/>
      <x:c r="E27" s="3" t="str">
        <x:v>203, 207, 221, 224</x:v>
      </x:c>
      <x:c r="F27" s="3" t="str">
        <x:v>Обозначение в исходных изображениях</x:v>
      </x:c>
    </x:row>
    <x:row r="28" ht="58" customHeight="1">
      <x:c r="A28" s="3" t="str">
        <x:v>G</x:v>
      </x:c>
      <x:c r="B28" s="3" t="str">
        <x:v>Положения регулировки</x:v>
      </x:c>
      <x:c r="C28" s="3" t="n">
        <x:v>10</x:v>
      </x:c>
      <x:c r="D28" s="3" t="str"/>
      <x:c r="E28" s="3" t="str">
        <x:v>207, 224</x:v>
      </x:c>
      <x:c r="F28" s="3" t="str">
        <x:v>Заявлено поставщиком</x:v>
      </x:c>
    </x:row>
    <x:row r="29" ht="58" customHeight="1">
      <x:c r="A29" s="3" t="str">
        <x:v>G</x:v>
      </x:c>
      <x:c r="B29" s="3" t="str">
        <x:v>Материал</x:v>
      </x:c>
      <x:c r="C29" s="3" t="str">
        <x:v>Алюминиевый сплав</x:v>
      </x:c>
      <x:c r="D29" s="3" t="str"/>
      <x:c r="E29" s="3" t="str">
        <x:v>221</x:v>
      </x:c>
      <x:c r="F29" s="3" t="str">
        <x:v>Заявлено поставщиком</x:v>
      </x:c>
    </x:row>
    <x:row r="30" ht="58" customHeight="1">
      <x:c r="A30" s="3" t="str">
        <x:v>H</x:v>
      </x:c>
      <x:c r="B30" s="3" t="str">
        <x:v>Основание</x:v>
      </x:c>
      <x:c r="C30" s="3" t="str">
        <x:v>Круглое, с древесным рисунком</x:v>
      </x:c>
      <x:c r="D30" s="3" t="str"/>
      <x:c r="E30" s="3" t="str">
        <x:v>223</x:v>
      </x:c>
      <x:c r="F30" s="3" t="str">
        <x:v>Материал основания не определён</x:v>
      </x:c>
    </x:row>
    <x:row r="31" ht="58" customHeight="1">
      <x:c r="A31" s="3" t="str">
        <x:v>Все</x:v>
      </x:c>
      <x:c r="B31" s="3" t="str">
        <x:v>Бренд</x:v>
      </x:c>
      <x:c r="C31" s="3" t="str">
        <x:v>Не указан</x:v>
      </x:c>
      <x:c r="D31" s="3" t="str"/>
      <x:c r="E31" s="3" t="str">
        <x:v>194</x:v>
      </x:c>
      <x:c r="F31" s="3" t="str">
        <x:v>Не приравнивать к подтверждённому отсутствию бренда</x:v>
      </x:c>
    </x:row>
    <x:row r="32" ht="58" customHeight="1">
      <x:c r="A32" s="3" t="str">
        <x:v>Все</x:v>
      </x:c>
      <x:c r="B32" s="3" t="str">
        <x:v>Максимальная нагрузка</x:v>
      </x:c>
      <x:c r="C32" s="3" t="str">
        <x:v>Не указана</x:v>
      </x:c>
      <x:c r="D32" s="3" t="str"/>
      <x:c r="E32" s="3" t="str">
        <x:v>Исходные изображения</x:v>
      </x:c>
      <x:c r="F32" s="3" t="str">
        <x:v>Стопка телефонов не является испытанием</x:v>
      </x:c>
    </x:row>
    <x:row r="33" ht="58" customHeight="1">
      <x:c r="A33" s="3" t="str">
        <x:v>Все</x:v>
      </x:c>
      <x:c r="B33" s="3" t="str">
        <x:v>Упаковка и масса брутто</x:v>
      </x:c>
      <x:c r="C33" s="3" t="str">
        <x:v>Не подтверждены</x:v>
      </x:c>
      <x:c r="D33" s="3" t="str"/>
      <x:c r="E33" s="3" t="str">
        <x:v>Исходные изображения</x:v>
      </x:c>
      <x:c r="F33" s="3" t="str">
        <x:v>Нужны для расчёта логистики</x:v>
      </x:c>
    </x:row>
    <x:row r="34" ht="58" customHeight="1">
      <x:c r="A34" s="3" t="str">
        <x:v>Все</x:v>
      </x:c>
      <x:c r="B34" s="3" t="str">
        <x:v>Комплектация</x:v>
      </x:c>
      <x:c r="C34" s="3" t="str">
        <x:v>Уточняется</x:v>
      </x:c>
      <x:c r="D34" s="3" t="str"/>
      <x:c r="E34" s="3" t="str">
        <x:v>Исходные изображения</x:v>
      </x:c>
      <x:c r="F34" s="3" t="str">
        <x:v>Телефоны, планшеты и ноутбуки — иллюстрации</x:v>
      </x:c>
    </x:row>
    <x:row r="35" ht="58" customHeight="1">
      <x:c r="A35" s="3" t="str">
        <x:v>Все</x:v>
      </x:c>
      <x:c r="B35" s="3" t="str">
        <x:v>Гарантия</x:v>
      </x:c>
      <x:c r="C35" s="3" t="str">
        <x:v>Уточняется</x:v>
      </x:c>
      <x:c r="D35" s="3" t="str"/>
      <x:c r="E35" s="3" t="str">
        <x:v>212</x:v>
      </x:c>
      <x:c r="F35" s="3" t="str">
        <x:v>Заявление «1 год» требует подтверждения</x:v>
      </x:c>
    </x:row>
    <x:row r="36" ht="58" customHeight="1">
      <x:c r="A36" s="3" t="str">
        <x:v>Все</x:v>
      </x:c>
      <x:c r="B36" s="3" t="str">
        <x:v>Срок службы</x:v>
      </x:c>
      <x:c r="C36" s="3" t="str">
        <x:v>Не подтверждён</x:v>
      </x:c>
      <x:c r="D36" s="3" t="str"/>
      <x:c r="E36" s="3" t="str">
        <x:v>206, 214, 220, 225</x:v>
      </x:c>
      <x:c r="F36" s="3" t="str">
        <x:v>Не использовать обещание 10 лет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65" hidden="0" customWidth="1"/>
    <x:col min="3" max="3" width="105" hidden="0" customWidth="1"/>
    <x:col min="4" max="4" width="40" hidden="0" customWidth="1"/>
  </x:cols>
  <x:sheetData>
    <x:row r="1" ht="36" customHeight="1">
      <x:c r="A1" s="5" t="str">
        <x:v>Группа</x:v>
      </x:c>
      <x:c r="B1" s="5" t="str">
        <x:v>Название</x:v>
      </x:c>
      <x:c r="C1" s="5" t="str">
        <x:v>Описание</x:v>
      </x:c>
      <x:c r="D1" s="5" t="str">
        <x:v>Источник: изображения</x:v>
      </x:c>
    </x:row>
    <x:row r="2" ht="58" customHeight="1">
      <x:c r="A2" s="3" t="str">
        <x:v>A</x:v>
      </x:c>
      <x:c r="B2" s="3" t="str">
        <x:v>Подставка для телефона и планшета настольная, складная</x:v>
      </x:c>
      <x:c r="C2" s="3" t="str">
        <x:v>Вариант: Прямоугольное основание, металлическая панель. Подставка для размещения устройства на столе. Цвета по материалам поставщика: чёрный, тёмно-серый, голубой, светло-зелёный, сиреневый, розовый, жёлтый. Перед заказом уточните выбранную модель, размеры и допустимую нагрузку.</x:v>
      </x:c>
      <x:c r="D2" s="3" t="str">
        <x:v>186–200, 205–206, 212, 214–215, 220, 225</x:v>
      </x:c>
    </x:row>
    <x:row r="3" ht="58" customHeight="1">
      <x:c r="A3" s="3" t="str">
        <x:v>B</x:v>
      </x:c>
      <x:c r="B3" s="3" t="str">
        <x:v>Подставка для телефона и планшета настольная, складная</x:v>
      </x:c>
      <x:c r="C3" s="3" t="str">
        <x:v>Вариант: Круглое основание, металлическая панель с прорезями. Подставка для размещения устройства на столе. Цвета по материалам поставщика: тёмно-серый, сиреневый. Перед заказом уточните выбранную модель, размеры и допустимую нагрузку.</x:v>
      </x:c>
      <x:c r="D3" s="3" t="str">
        <x:v>201–202, 211, 218</x:v>
      </x:c>
    </x:row>
    <x:row r="4" ht="58" customHeight="1">
      <x:c r="A4" s="3" t="str">
        <x:v>C</x:v>
      </x:c>
      <x:c r="B4" s="3" t="str">
        <x:v>Подставка для телефона и планшета настольная, складная</x:v>
      </x:c>
      <x:c r="C4" s="3" t="str">
        <x:v>Вариант: Круглое основание, панель с одним верхним отверстием. Подставка для размещения устройства на столе. Цвета по материалам поставщика: тёмно-серый. Перед заказом уточните выбранную модель, размеры и допустимую нагрузку.</x:v>
      </x:c>
      <x:c r="D4" s="3" t="str">
        <x:v>208, 222</x:v>
      </x:c>
    </x:row>
    <x:row r="5" ht="58" customHeight="1">
      <x:c r="A5" s="3" t="str">
        <x:v>D</x:v>
      </x:c>
      <x:c r="B5" s="3" t="str">
        <x:v>Подставка для телефона и планшета настольная, складная</x:v>
      </x:c>
      <x:c r="C5" s="3" t="str">
        <x:v>Вариант: Рифлёная панель, поворотная подставка. Подставка для размещения устройства на столе. Цвета по материалам поставщика: жёлтый, чёрный. Перед заказом уточните выбранную модель, размеры и допустимую нагрузку.</x:v>
      </x:c>
      <x:c r="D5" s="3" t="str">
        <x:v>204, 213, 217</x:v>
      </x:c>
    </x:row>
    <x:row r="6" ht="58" customHeight="1">
      <x:c r="A6" s="3" t="str">
        <x:v>E</x:v>
      </x:c>
      <x:c r="B6" s="3" t="str">
        <x:v>Подставка для телефона и планшета настольная, складная</x:v>
      </x:c>
      <x:c r="C6" s="3" t="str">
        <x:v>Вариант: Телескопическая стойка, утяжелённое основание. Подставка для размещения устройства на столе. Цвета по материалам поставщика: белый, чёрный. Перед заказом уточните выбранную модель, размеры и допустимую нагрузку.</x:v>
      </x:c>
      <x:c r="D6" s="3" t="str">
        <x:v>209–210</x:v>
      </x:c>
    </x:row>
    <x:row r="7" ht="58" customHeight="1">
      <x:c r="A7" s="3" t="str">
        <x:v>F</x:v>
      </x:c>
      <x:c r="B7" s="3" t="str">
        <x:v>Подставка для планшета настольная, складная, поворотная</x:v>
      </x:c>
      <x:c r="C7" s="3" t="str">
        <x:v>Вариант: Две стойки, широкая панель для планшета. Подставка для размещения устройства на столе. Цвета по материалам поставщика: серебристый, чёрный. Перед заказом уточните выбранную модель, размеры и допустимую нагрузку.</x:v>
      </x:c>
      <x:c r="D7" s="3" t="str">
        <x:v>216, 226</x:v>
      </x:c>
    </x:row>
    <x:row r="8" ht="58" customHeight="1">
      <x:c r="A8" s="3" t="str">
        <x:v>G</x:v>
      </x:c>
      <x:c r="B8" s="3" t="str">
        <x:v>Подставка для ноутбука N3, складная, регулируемая</x:v>
      </x:c>
      <x:c r="C8" s="3" t="str">
        <x:v>Вариант: N3, складная подставка для ноутбука. Подставка для размещения устройства на столе. Цвета по материалам поставщика: серебристый, белый, чёрный. Перед заказом уточните выбранную модель, размеры и допустимую нагрузку.</x:v>
      </x:c>
      <x:c r="D8" s="3" t="str">
        <x:v>203, 207, 221, 224</x:v>
      </x:c>
    </x:row>
    <x:row r="9" ht="58" customHeight="1">
      <x:c r="A9" s="3" t="str">
        <x:v>H</x:v>
      </x:c>
      <x:c r="B9" s="3" t="str">
        <x:v>Подставка для телефона и планшета настольная, складная</x:v>
      </x:c>
      <x:c r="C9" s="3" t="str">
        <x:v>Вариант: Круглое основание с древесным рисунком. Подставка для размещения устройства на столе. Цвета по материалам поставщика: серый / древесный рисунок. Перед заказом уточните выбранную модель, размеры и допустимую нагрузку.</x:v>
      </x:c>
      <x:c r="D9" s="3" t="str">
        <x:v>223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3" hidden="0" customWidth="1"/>
    <x:col min="3" max="3" width="105" hidden="0" customWidth="1"/>
    <x:col min="4" max="4" width="60" hidden="0" customWidth="1"/>
  </x:cols>
  <x:sheetData>
    <x:row r="1" ht="36" customHeight="1">
      <x:c r="A1" s="5" t="str">
        <x:v>№</x:v>
      </x:c>
      <x:c r="B1" s="5" t="str">
        <x:v>Исходный файл</x:v>
      </x:c>
      <x:c r="C1" s="5" t="str">
        <x:v>Текст RU для изображения</x:v>
      </x:c>
      <x:c r="D1" s="5" t="str">
        <x:v>Примечание</x:v>
      </x:c>
    </x:row>
    <x:row r="2" ht="127" customHeight="1">
      <x:c r="A2" s="3" t="n">
        <x:v>186</x:v>
      </x:c>
      <x:c r="B2" s="3" t="str">
        <x:v>图片_20260914092328_186_1.jpg</x:v>
      </x:c>
      <x:c r="C2" s="3" t="str">
        <x:v>Выбирайте продуманную конструкцию
Стандартная модель: 102 г; Стандартная модель; Небольшое основание; Невысокая нагрузка; Только для телефона. Размеры: 3,1 см; 5,1 см; 4,2 см; 4,2 см.
Обновлённая модель: 226 г; Обновлённая модель; Увеличенное утяжелённое основание; Металлическая конструкция; Регулируемый наклон; Практичный дизайн. Размеры: 7,1 см; 10,5 см; 12 см; 8,2 см. Вместо заявления 720°: Поворотное основание.</x:v>
      </x:c>
      <x:c r="D2" s="3" t="str">
        <x:v>Русская локализация; заявления сверить с параметрами</x:v>
      </x:c>
    </x:row>
    <x:row r="3" ht="59" customHeight="1">
      <x:c r="A3" s="3" t="n">
        <x:v>187</x:v>
      </x:c>
      <x:c r="B3" s="3" t="str">
        <x:v>图片_20260914092330_187_1.jpg</x:v>
      </x:c>
      <x:c r="C3" s="3" t="str">
        <x:v>Механический поворотный механизм
Плавное вращение на 360° с характерными щелчками</x:v>
      </x:c>
      <x:c r="D3" s="3" t="str">
        <x:v>Русская локализация; заявления сверить с параметрами</x:v>
      </x:c>
    </x:row>
    <x:row r="4" ht="93" customHeight="1">
      <x:c r="A4" s="3" t="n">
        <x:v>188</x:v>
      </x:c>
      <x:c r="B4" s="3" t="str">
        <x:v>图片_20260914092332_188_1.jpg</x:v>
      </x:c>
      <x:c r="C4" s="3" t="str">
        <x:v>Устойчивая опора
Для работы и отдыха
Металлическая конструкция
Удобно пользоваться экраном</x:v>
      </x:c>
      <x:c r="D4" s="3" t="str">
        <x:v>Русская локализация; заявления сверить с параметрами</x:v>
      </x:c>
    </x:row>
    <x:row r="5" ht="93" customHeight="1">
      <x:c r="A5" s="3" t="n">
        <x:v>189</x:v>
      </x:c>
      <x:c r="B5" s="3" t="str">
        <x:v>图片_20260914092337_189_1.jpg</x:v>
      </x:c>
      <x:c r="C5" s="3" t="str">
        <x:v>Место для зарядного кабеля
Пользуйтесь во время зарядки
Смотрите видео
Экран остаётся открытым</x:v>
      </x:c>
      <x:c r="D5" s="3" t="str">
        <x:v>Русская локализация; заявления сверить с параметрами</x:v>
      </x:c>
    </x:row>
    <x:row r="6" ht="93" customHeight="1">
      <x:c r="A6" s="3" t="n">
        <x:v>190</x:v>
      </x:c>
      <x:c r="B6" s="3" t="str">
        <x:v>图片_20260914092339_190_1.jpg</x:v>
      </x:c>
      <x:c r="C6" s="3" t="str">
        <x:v>Стильная и устойчивая
Складная подставка для телефона
Поворотное основание • Металлическая конструкция
Нежные цвета для вашего стола</x:v>
      </x:c>
      <x:c r="D6" s="3" t="str">
        <x:v>Русская локализация; заявления сверить с параметрами</x:v>
      </x:c>
    </x:row>
    <x:row r="7" ht="76" customHeight="1">
      <x:c r="A7" s="3" t="n">
        <x:v>191</x:v>
      </x:c>
      <x:c r="B7" s="3" t="str">
        <x:v>图片_20260914092342_191_1.jpg</x:v>
      </x:c>
      <x:c r="C7" s="3" t="str">
        <x:v>Комфорт каждый день
Подставка для дома
Для просмотра видео</x:v>
      </x:c>
      <x:c r="D7" s="3" t="str">
        <x:v>Русская локализация; заявления сверить с параметрами</x:v>
      </x:c>
    </x:row>
    <x:row r="8" ht="127" customHeight="1">
      <x:c r="A8" s="3" t="n">
        <x:v>192</x:v>
      </x:c>
      <x:c r="B8" s="3" t="str">
        <x:v>图片_20260914092344_192_1.jpg</x:v>
      </x:c>
      <x:c r="C8" s="3" t="str">
        <x:v>Добавьте цвет вашему столу
Силиконовые накладки
Два шарнира для регулировки наклона
180° / 180°
Металлическое основание
Противоскользящие накладки снизу</x:v>
      </x:c>
      <x:c r="D8" s="3" t="str">
        <x:v>Русская локализация; заявления сверить с параметрами</x:v>
      </x:c>
    </x:row>
    <x:row r="9" ht="59" customHeight="1">
      <x:c r="A9" s="3" t="n">
        <x:v>193</x:v>
      </x:c>
      <x:c r="B9" s="3" t="str">
        <x:v>图片_20260914092346_193_1.jpg</x:v>
      </x:c>
      <x:c r="C9" s="3" t="str">
        <x:v>Видеозвонки
На кухне</x:v>
      </x:c>
      <x:c r="D9" s="3" t="str">
        <x:v>Русская локализация; заявления сверить с параметрами</x:v>
      </x:c>
    </x:row>
    <x:row r="10" ht="195" customHeight="1">
      <x:c r="A10" s="3" t="n">
        <x:v>194</x:v>
      </x:c>
      <x:c r="B10" s="3" t="str">
        <x:v>图片_20260914092347_194_1.jpg</x:v>
      </x:c>
      <x:c r="C10" s="3" t="str">
        <x:v>Размеры и характеристики
Размеры на схеме: 109 мм, 83 мм, 71 мм, 82 мм, 121 мм, 120 мм.
Бренд: не указан
Название: настольная металлическая поворотная подставка
Масса: около 243,2 г
Цвета: чёрный, тёмно-серый, голубой, светло-зелёный, сиреневый, розовый
Материалы: металл + POM + силикон
Размер верхней пластины: 109 × 71 × 2 мм
Нижняя часть, по тексту поставщика: 120 × 121 × 2 мм
Размеры и масса требуют уточнения: данные на других изображениях отличаются.</x:v>
      </x:c>
      <x:c r="D10" s="3" t="str">
        <x:v>Русская локализация; заявления сверить с параметрами</x:v>
      </x:c>
    </x:row>
    <x:row r="11" ht="93" customHeight="1">
      <x:c r="A11" s="3" t="n">
        <x:v>195</x:v>
      </x:c>
      <x:c r="B11" s="3" t="str">
        <x:v>图片_20260914092349_195_1.jpg</x:v>
      </x:c>
      <x:c r="C11" s="3" t="str">
        <x:v>Красиво и удобно
Цвет для настроения
Цвета слева направо: Светло-зелёный; Чёрный; Тёмно-серый; Сиреневый; Жёлтый; Розовый; Голубой
Продуманные детали</x:v>
      </x:c>
      <x:c r="D11" s="3" t="str">
        <x:v>Русская локализация; заявления сверить с параметрами</x:v>
      </x:c>
    </x:row>
    <x:row r="12" ht="59" customHeight="1">
      <x:c r="A12" s="3" t="n">
        <x:v>196</x:v>
      </x:c>
      <x:c r="B12" s="3" t="str">
        <x:v>图片_20260914092351_196_1.jpg</x:v>
      </x:c>
      <x:c r="C12" s="3" t="str">
        <x:v>Для телефона и планшета
Компактная подставка для разных устройств</x:v>
      </x:c>
      <x:c r="D12" s="3" t="str">
        <x:v>Русская локализация; заявления сверить с параметрами</x:v>
      </x:c>
    </x:row>
    <x:row r="13" ht="93" customHeight="1">
      <x:c r="A13" s="3" t="n">
        <x:v>197</x:v>
      </x:c>
      <x:c r="B13" s="3" t="str">
        <x:v>图片_20260914092352_197_1.jpg</x:v>
      </x:c>
      <x:c r="C13" s="3" t="str">
        <x:v>Надёжная опора для телефона
Для крупных смартфонов и телефонов в чехле
Устойчивое основание
Нагрузку и совместимость уточняйте для выбранной модели</x:v>
      </x:c>
      <x:c r="D13" s="3" t="str">
        <x:v>Русская локализация; заявления сверить с параметрами</x:v>
      </x:c>
    </x:row>
    <x:row r="14" ht="93" customHeight="1">
      <x:c r="A14" s="3" t="n">
        <x:v>198</x:v>
      </x:c>
      <x:c r="B14" s="3" t="str">
        <x:v>图片_20260914092354_198_1.jpg</x:v>
      </x:c>
      <x:c r="C14" s="3" t="str">
        <x:v>Поверните одним движением
Вращение на 360°
Плавный поворот
Удобно смотреть вместе</x:v>
      </x:c>
      <x:c r="D14" s="3" t="str">
        <x:v>Русская локализация; заявления сверить с параметрами</x:v>
      </x:c>
    </x:row>
    <x:row r="15" ht="76" customHeight="1">
      <x:c r="A15" s="3" t="n">
        <x:v>199</x:v>
      </x:c>
      <x:c r="B15" s="3" t="str">
        <x:v>图片_20260914092356_199_1.jpg</x:v>
      </x:c>
      <x:c r="C15" s="3" t="str">
        <x:v>Складывается целиком
Удобно брать с собой
Компактная конструкция для поездок</x:v>
      </x:c>
      <x:c r="D15" s="3" t="str">
        <x:v>Русская локализация; заявления сверить с параметрами</x:v>
      </x:c>
    </x:row>
    <x:row r="16" ht="58" customHeight="1">
      <x:c r="A16" s="3" t="n">
        <x:v>200</x:v>
      </x:c>
      <x:c r="B16" s="3" t="str">
        <x:v>图片_20260914092358_200_1.jpg</x:v>
      </x:c>
      <x:c r="C16" s="3" t="str">
        <x:v>Текст для перевода отсутствует</x:v>
      </x:c>
      <x:c r="D16" s="3" t="str">
        <x:v>Сохранить оригинал без изменений</x:v>
      </x:c>
    </x:row>
    <x:row r="17" ht="58" customHeight="1">
      <x:c r="A17" s="3" t="n">
        <x:v>201</x:v>
      </x:c>
      <x:c r="B17" s="3" t="str">
        <x:v>图片_20260914092359_201_1.jpg</x:v>
      </x:c>
      <x:c r="C17" s="3" t="str">
        <x:v>Текст для перевода отсутствует</x:v>
      </x:c>
      <x:c r="D17" s="3" t="str">
        <x:v>Сохранить оригинал без изменений</x:v>
      </x:c>
    </x:row>
    <x:row r="18" ht="58" customHeight="1">
      <x:c r="A18" s="3" t="n">
        <x:v>202</x:v>
      </x:c>
      <x:c r="B18" s="3" t="str">
        <x:v>图片_20260914092401_202_1.jpg</x:v>
      </x:c>
      <x:c r="C18" s="3" t="str">
        <x:v>Текст для перевода отсутствует</x:v>
      </x:c>
      <x:c r="D18" s="3" t="str">
        <x:v>Сохранить оригинал без изменений</x:v>
      </x:c>
    </x:row>
    <x:row r="19" ht="59" customHeight="1">
      <x:c r="A19" s="3" t="n">
        <x:v>203</x:v>
      </x:c>
      <x:c r="B19" s="3" t="str">
        <x:v>图片_20260914092403_203_1.jpg</x:v>
      </x:c>
      <x:c r="C19" s="3" t="str">
        <x:v>Классическая модель N3
За подробными изображениями обратитесь к поставщику</x:v>
      </x:c>
      <x:c r="D19" s="3" t="str">
        <x:v>Русская локализация; заявления сверить с параметрами</x:v>
      </x:c>
    </x:row>
    <x:row r="20" ht="127" customHeight="1">
      <x:c r="A20" s="3" t="n">
        <x:v>204</x:v>
      </x:c>
      <x:c r="B20" s="3" t="str">
        <x:v>图片_20260914092405_204_1.jpg</x:v>
      </x:c>
      <x:c r="C20" s="3" t="str">
        <x:v>Кремово-жёлтый
Для телефона и планшета
Вращение на 360°
Металлическое основание
Три оси регулировки
Регулируется и складывается</x:v>
      </x:c>
      <x:c r="D20" s="3" t="str">
        <x:v>Русская локализация; заявления сверить с параметрами</x:v>
      </x:c>
    </x:row>
    <x:row r="21" ht="76" customHeight="1">
      <x:c r="A21" s="3" t="n">
        <x:v>205</x:v>
      </x:c>
      <x:c r="B21" s="3" t="str">
        <x:v>图片_20260914092407_205_1.jpg</x:v>
      </x:c>
      <x:c r="C21" s="3" t="str">
        <x:v>Помещается на ладони
Складывается для удобной перевозки
Для поездок и командировок</x:v>
      </x:c>
      <x:c r="D21" s="3" t="str">
        <x:v>Русская локализация; заявления сверить с параметрами</x:v>
      </x:c>
    </x:row>
    <x:row r="22" ht="127" customHeight="1">
      <x:c r="A22" s="3" t="n">
        <x:v>206</x:v>
      </x:c>
      <x:c r="B22" s="3" t="str">
        <x:v>图片_20260914092408_206_1.jpg</x:v>
      </x:c>
      <x:c r="C22" s="3" t="str">
        <x:v>Голубой
Поворотная подставка
Металлический сплав
Увеличенное утяжелённое основание
Складная конструкция и силиконовые накладки
Для телефона и планшета</x:v>
      </x:c>
      <x:c r="D22" s="3" t="str">
        <x:v>Русская локализация; заявления сверить с параметрами</x:v>
      </x:c>
    </x:row>
    <x:row r="23" ht="161" customHeight="1">
      <x:c r="A23" s="3" t="n">
        <x:v>207</x:v>
      </x:c>
      <x:c r="B23" s="3" t="str">
        <x:v>图片_20260914092411_207_1.jpg</x:v>
      </x:c>
      <x:c r="C23" s="3" t="str">
        <x:v>Белый
Увеличенная конструкция
Складная и переносная
Противоскользящие накладки
10 положений регулировки
Классическая модель N3
За подробными изображениями обратитесь к поставщику
Для ноутбуков</x:v>
      </x:c>
      <x:c r="D23" s="3" t="str">
        <x:v>Русская локализация; заявления сверить с параметрами</x:v>
      </x:c>
    </x:row>
    <x:row r="24" ht="110" customHeight="1">
      <x:c r="A24" s="3" t="n">
        <x:v>208</x:v>
      </x:c>
      <x:c r="B24" s="3" t="str">
        <x:v>图片_20260914092412_208_1.jpg</x:v>
      </x:c>
      <x:c r="C24" s="3" t="str">
        <x:v>Металлическая подставка
Устойчивая опора
Поворотная конструкция
Для телефона и планшета
Поворачивается и складывается</x:v>
      </x:c>
      <x:c r="D24" s="3" t="str">
        <x:v>Русская локализация; заявления сверить с параметрами</x:v>
      </x:c>
    </x:row>
    <x:row r="25" ht="59" customHeight="1">
      <x:c r="A25" s="3" t="n">
        <x:v>209</x:v>
      </x:c>
      <x:c r="B25" s="3" t="str">
        <x:v>图片_20260914092414_209_1.jpg</x:v>
      </x:c>
      <x:c r="C25" s="3" t="str">
        <x:v>Подставка с утяжелённым основанием
Жемчужно-белый</x:v>
      </x:c>
      <x:c r="D25" s="3" t="str">
        <x:v>Русская локализация; заявления сверить с параметрами</x:v>
      </x:c>
    </x:row>
    <x:row r="26" ht="59" customHeight="1">
      <x:c r="A26" s="3" t="n">
        <x:v>210</x:v>
      </x:c>
      <x:c r="B26" s="3" t="str">
        <x:v>图片_20260914092416_210_1.jpg</x:v>
      </x:c>
      <x:c r="C26" s="3" t="str">
        <x:v>Подставка с утяжелённым основанием
Чёрный</x:v>
      </x:c>
      <x:c r="D26" s="3" t="str">
        <x:v>Русская локализация; заявления сверить с параметрами</x:v>
      </x:c>
    </x:row>
    <x:row r="27" ht="58" customHeight="1">
      <x:c r="A27" s="3" t="n">
        <x:v>211</x:v>
      </x:c>
      <x:c r="B27" s="3" t="str">
        <x:v>图片_20260914092418_211_1.jpg</x:v>
      </x:c>
      <x:c r="C27" s="3" t="str">
        <x:v>Текст для перевода отсутствует</x:v>
      </x:c>
      <x:c r="D27" s="3" t="str">
        <x:v>Сохранить оригинал без изменений</x:v>
      </x:c>
    </x:row>
    <x:row r="28" ht="93" customHeight="1">
      <x:c r="A28" s="3" t="n">
        <x:v>212</x:v>
      </x:c>
      <x:c r="B28" s="3" t="str">
        <x:v>图片_20260914092420_212_1.jpg</x:v>
      </x:c>
      <x:c r="C28" s="3" t="str">
        <x:v>Стильная и устойчивая
Поворотная металлическая подставка
Увеличенное основание
Гарантия: уточняется</x:v>
      </x:c>
      <x:c r="D28" s="3" t="str">
        <x:v>Русская локализация; заявления сверить с параметрами</x:v>
      </x:c>
    </x:row>
    <x:row r="29" ht="58" customHeight="1">
      <x:c r="A29" s="3" t="n">
        <x:v>213</x:v>
      </x:c>
      <x:c r="B29" s="3" t="str">
        <x:v>图片_20260914092422_213_1.jpg</x:v>
      </x:c>
      <x:c r="C29" s="3" t="str">
        <x:v>Текст для перевода отсутствует</x:v>
      </x:c>
      <x:c r="D29" s="3" t="str">
        <x:v>Сохранить оригинал без изменений</x:v>
      </x:c>
    </x:row>
    <x:row r="30" ht="127" customHeight="1">
      <x:c r="A30" s="3" t="n">
        <x:v>214</x:v>
      </x:c>
      <x:c r="B30" s="3" t="str">
        <x:v>图片_20260914092423_214_1.jpg</x:v>
      </x:c>
      <x:c r="C30" s="3" t="str">
        <x:v>Сиреневый
Поворотная подставка
Металлический сплав
Увеличенное утяжелённое основание
Складная конструкция и силиконовые накладки
Для телефона и планшета</x:v>
      </x:c>
      <x:c r="D30" s="3" t="str">
        <x:v>Русская локализация; заявления сверить с параметрами</x:v>
      </x:c>
    </x:row>
    <x:row r="31" ht="93" customHeight="1">
      <x:c r="A31" s="3" t="n">
        <x:v>215</x:v>
      </x:c>
      <x:c r="B31" s="3" t="str">
        <x:v>图片_20260914092425_215_1.jpg</x:v>
      </x:c>
      <x:c r="C31" s="3" t="str">
        <x:v>Накладки на панели
Накладки на упорах
Накладки на основании
Три зоны защиты от скольжения</x:v>
      </x:c>
      <x:c r="D31" s="3" t="str">
        <x:v>Русская локализация; заявления сверить с параметрами</x:v>
      </x:c>
    </x:row>
    <x:row r="32" ht="195" customHeight="1">
      <x:c r="A32" s="3" t="n">
        <x:v>216</x:v>
      </x:c>
      <x:c r="B32" s="3" t="str">
        <x:v>图片_20260914092427_216_1.jpg</x:v>
      </x:c>
      <x:c r="C32" s="3" t="str">
        <x:v>Вращение на 360°
Складная конструкция
Серебристый
Металлическая подставка для планшета
Поворотное основание
Металлическая конструкция
Две опорные стойки
Увеличенная панель
Для телефона и планшета
Компактное хранение</x:v>
      </x:c>
      <x:c r="D32" s="3" t="str">
        <x:v>Русская локализация; заявления сверить с параметрами</x:v>
      </x:c>
    </x:row>
    <x:row r="33" ht="127" customHeight="1">
      <x:c r="A33" s="3" t="n">
        <x:v>217</x:v>
      </x:c>
      <x:c r="B33" s="3" t="str">
        <x:v>图片_20260914092429_217_1.jpg</x:v>
      </x:c>
      <x:c r="C33" s="3" t="str">
        <x:v>Чёрный
Для телефона и планшета
Вращение на 360°
Металлическое основание
Три оси регулировки
Регулируется и складывается</x:v>
      </x:c>
      <x:c r="D33" s="3" t="str">
        <x:v>Русская локализация; заявления сверить с параметрами</x:v>
      </x:c>
    </x:row>
    <x:row r="34" ht="58" customHeight="1">
      <x:c r="A34" s="3" t="n">
        <x:v>218</x:v>
      </x:c>
      <x:c r="B34" s="3" t="str">
        <x:v>图片_20260914092431_218_1.jpg</x:v>
      </x:c>
      <x:c r="C34" s="3" t="str">
        <x:v>Текст для перевода отсутствует</x:v>
      </x:c>
      <x:c r="D34" s="3" t="str">
        <x:v>Сохранить оригинал без изменений</x:v>
      </x:c>
    </x:row>
    <x:row r="35" ht="144" customHeight="1">
      <x:c r="A35" s="3" t="n">
        <x:v>219</x:v>
      </x:c>
      <x:c r="B35" s="3" t="str">
        <x:v>图片_20260914092433_219_1.jpg</x:v>
      </x:c>
      <x:c r="C35" s="3" t="str">
        <x:v>Для работы и отдыха
Видео, работа, рисование и онлайн-уроки
Работа за столом
Рисование
Просмотр видео
Видеозвонки
Прямые эфиры</x:v>
      </x:c>
      <x:c r="D35" s="3" t="str">
        <x:v>Русская локализация; заявления сверить с параметрами</x:v>
      </x:c>
    </x:row>
    <x:row r="36" ht="127" customHeight="1">
      <x:c r="A36" s="3" t="n">
        <x:v>220</x:v>
      </x:c>
      <x:c r="B36" s="3" t="str">
        <x:v>图片_20260914092435_220_1.jpg</x:v>
      </x:c>
      <x:c r="C36" s="3" t="str">
        <x:v>Розовый
Поворотная подставка
Металлический сплав
Увеличенное утяжелённое основание
Складная конструкция и силиконовые накладки
Для телефона и планшета</x:v>
      </x:c>
      <x:c r="D36" s="3" t="str">
        <x:v>Русская локализация; заявления сверить с параметрами</x:v>
      </x:c>
    </x:row>
    <x:row r="37" ht="161" customHeight="1">
      <x:c r="A37" s="3" t="n">
        <x:v>221</x:v>
      </x:c>
      <x:c r="B37" s="3" t="str">
        <x:v>图片_20260914092436_221_1.jpg</x:v>
      </x:c>
      <x:c r="C37" s="3" t="str">
        <x:v>Устойчивая конструкция
Подставка из алюминиевого сплава
Противоскользящие накладки
Складная, с регулировкой высоты
Возможна персонализация у поставщика
N3 — подставка для ноутбука
За подробными изображениями обратитесь к поставщику
Металлическая подставка для ноутбука</x:v>
      </x:c>
      <x:c r="D37" s="3" t="str">
        <x:v>Русская локализация; заявления сверить с параметрами</x:v>
      </x:c>
    </x:row>
    <x:row r="38" ht="93" customHeight="1">
      <x:c r="A38" s="3" t="n">
        <x:v>222</x:v>
      </x:c>
      <x:c r="B38" s="3" t="str">
        <x:v>图片_20260914092438_222_1.jpg</x:v>
      </x:c>
      <x:c r="C38" s="3" t="str">
        <x:v>Поворотная металлическая подставка
Для телефона и планшета
Алюминиевый сплав
Вращение на 360°</x:v>
      </x:c>
      <x:c r="D38" s="3" t="str">
        <x:v>Русская локализация; заявления сверить с параметрами</x:v>
      </x:c>
    </x:row>
    <x:row r="39" ht="58" customHeight="1">
      <x:c r="A39" s="3" t="n">
        <x:v>223</x:v>
      </x:c>
      <x:c r="B39" s="3" t="str">
        <x:v>图片_20260914092440_223_1.jpg</x:v>
      </x:c>
      <x:c r="C39" s="3" t="str">
        <x:v>Текст для перевода отсутствует</x:v>
      </x:c>
      <x:c r="D39" s="3" t="str">
        <x:v>Сохранить оригинал без изменений</x:v>
      </x:c>
    </x:row>
    <x:row r="40" ht="161" customHeight="1">
      <x:c r="A40" s="3" t="n">
        <x:v>224</x:v>
      </x:c>
      <x:c r="B40" s="3" t="str">
        <x:v>图片_20260914092443_224_1.jpg</x:v>
      </x:c>
      <x:c r="C40" s="3" t="str">
        <x:v>Чёрный
Увеличенная конструкция
Складная и переносная
Противоскользящие накладки
10 положений регулировки
Классическая модель N3
За подробными изображениями обратитесь к поставщику
Для ноутбуков</x:v>
      </x:c>
      <x:c r="D40" s="3" t="str">
        <x:v>Русская локализация; заявления сверить с параметрами</x:v>
      </x:c>
    </x:row>
    <x:row r="41" ht="127" customHeight="1">
      <x:c r="A41" s="3" t="n">
        <x:v>225</x:v>
      </x:c>
      <x:c r="B41" s="3" t="str">
        <x:v>图片_20260914092447_225_1.jpg</x:v>
      </x:c>
      <x:c r="C41" s="3" t="str">
        <x:v>Чёрный
Поворотная подставка
Металлический сплав
Увеличенное утяжелённое основание
Складная конструкция и силиконовые накладки
Для телефона и планшета</x:v>
      </x:c>
      <x:c r="D41" s="3" t="str">
        <x:v>Русская локализация; заявления сверить с параметрами</x:v>
      </x:c>
    </x:row>
    <x:row r="42" ht="195" customHeight="1">
      <x:c r="A42" s="3" t="n">
        <x:v>226</x:v>
      </x:c>
      <x:c r="B42" s="3" t="str">
        <x:v>图片_20260914092449_226_1.jpg</x:v>
      </x:c>
      <x:c r="C42" s="3" t="str">
        <x:v>Вращение на 360°
Складная конструкция
Чёрный
Металлическая подставка для планшета
Поворотное основание
Металлическая конструкция
Две опорные стойки
Увеличенная панель
Для телефона и планшета
Компактное хранение</x:v>
      </x:c>
      <x:c r="D42" s="3" t="str">
        <x:v>Русская локализация; заявления сверить с параметрами</x:v>
      </x:c>
    </x:row>
    <x:row r="43" ht="161" customHeight="1">
      <x:c r="A43" s="3" t="n">
        <x:v>227</x:v>
      </x:c>
      <x:c r="B43" s="3" t="str">
        <x:v>图片_20260914092733_227_1.jpg</x:v>
      </x:c>
      <x:c r="C43" s="3" t="str">
        <x:v>Характеристики товара
Материал: сплав
Тип: настольная подставка
Исполнение: универсальное
Изготовление на заказ: доступно у поставщика
Размеры и масса товара
Масса, г: 1000
Примечание: масса указана в исходной карточке. Модель и масса нетто/брутто не уточнены.</x:v>
      </x:c>
      <x:c r="D43" s="3" t="str">
        <x:v>Русская локализация; заявления сверить с параметрами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4" hidden="0" customWidth="1"/>
    <x:col min="3" max="3" width="22" hidden="0" customWidth="1"/>
    <x:col min="4" max="4" width="45" hidden="0" customWidth="1"/>
    <x:col min="5" max="5" width="20" hidden="0" customWidth="1"/>
  </x:cols>
  <x:sheetData>
    <x:row r="1" ht="36" customHeight="1">
      <x:c r="A1" s="5" t="str">
        <x:v>Русский</x:v>
      </x:c>
      <x:c r="B1" s="5" t="str">
        <x:v>中文</x:v>
      </x:c>
      <x:c r="C1" s="5" t="str">
        <x:v>Тип</x:v>
      </x:c>
      <x:c r="D1" s="5" t="str">
        <x:v>Использование</x:v>
      </x:c>
      <x:c r="E1" s="5" t="str">
        <x:v>Статус</x:v>
      </x:c>
    </x:row>
    <x:row r="2" ht="58" customHeight="1">
      <x:c r="A2" s="3" t="str">
        <x:v>подставка для телефона</x:v>
      </x:c>
      <x:c r="B2" s="3" t="str">
        <x:v>手机支架</x:v>
      </x:c>
      <x:c r="C2" s="3" t="str">
        <x:v>core</x:v>
      </x:c>
      <x:c r="D2" s="3" t="str">
        <x:v>Название, поиск</x:v>
      </x:c>
      <x:c r="E2" s="3" t="str">
        <x:v>candidate</x:v>
      </x:c>
    </x:row>
    <x:row r="3" ht="58" customHeight="1">
      <x:c r="A3" s="3" t="str">
        <x:v>подставка для планшета</x:v>
      </x:c>
      <x:c r="B3" s="3" t="str">
        <x:v>平板支架</x:v>
      </x:c>
      <x:c r="C3" s="3" t="str">
        <x:v>core</x:v>
      </x:c>
      <x:c r="D3" s="3" t="str">
        <x:v>Название, поиск</x:v>
      </x:c>
      <x:c r="E3" s="3" t="str">
        <x:v>candidate</x:v>
      </x:c>
    </x:row>
    <x:row r="4" ht="58" customHeight="1">
      <x:c r="A4" s="3" t="str">
        <x:v>складная подставка</x:v>
      </x:c>
      <x:c r="B4" s="3" t="str">
        <x:v>折叠支架</x:v>
      </x:c>
      <x:c r="C4" s="3" t="str">
        <x:v>attribute</x:v>
      </x:c>
      <x:c r="D4" s="3" t="str">
        <x:v>Название, поиск</x:v>
      </x:c>
      <x:c r="E4" s="3" t="str">
        <x:v>candidate</x:v>
      </x:c>
    </x:row>
    <x:row r="5" ht="58" customHeight="1">
      <x:c r="A5" s="3" t="str">
        <x:v>настольная подставка</x:v>
      </x:c>
      <x:c r="B5" s="3" t="str">
        <x:v>桌面支架</x:v>
      </x:c>
      <x:c r="C5" s="3" t="str">
        <x:v>attribute</x:v>
      </x:c>
      <x:c r="D5" s="3" t="str">
        <x:v>Описание, поиск</x:v>
      </x:c>
      <x:c r="E5" s="3" t="str">
        <x:v>candidate</x:v>
      </x:c>
    </x:row>
    <x:row r="6" ht="58" customHeight="1">
      <x:c r="A6" s="3" t="str">
        <x:v>для видеозвонков</x:v>
      </x:c>
      <x:c r="B6" s="3" t="str">
        <x:v>视频通话</x:v>
      </x:c>
      <x:c r="C6" s="3" t="str">
        <x:v>scenario</x:v>
      </x:c>
      <x:c r="D6" s="3" t="str">
        <x:v>Описание</x:v>
      </x:c>
      <x:c r="E6" s="3" t="str">
        <x:v>candidate</x:v>
      </x:c>
    </x:row>
    <x:row r="7" ht="58" customHeight="1">
      <x:c r="A7" s="3" t="str">
        <x:v>подставка для ноутбука N3</x:v>
      </x:c>
      <x:c r="B7" s="3" t="str">
        <x:v>N3笔记本支架</x:v>
      </x:c>
      <x:c r="C7" s="3" t="str">
        <x:v>core</x:v>
      </x:c>
      <x:c r="D7" s="3" t="str">
        <x:v>Только G</x:v>
      </x:c>
      <x:c r="E7" s="3" t="str">
        <x:v>candidate</x:v>
      </x:c>
    </x:row>
    <x:row r="8" ht="58" customHeight="1">
      <x:c r="A8" s="3" t="str">
        <x:v>беспроводная зарядка</x:v>
      </x:c>
      <x:c r="B8" s="3" t="str">
        <x:v>无线充电</x:v>
      </x:c>
      <x:c r="C8" s="3" t="str">
        <x:v>negative</x:v>
      </x:c>
      <x:c r="D8" s="3" t="str">
        <x:v>Не использовать</x:v>
      </x:c>
      <x:c r="E8" s="3" t="str">
        <x:v>negative</x:v>
      </x:c>
    </x:row>
    <x:row r="9" ht="58" customHeight="1">
      <x:c r="A9" s="3" t="str">
        <x:v>магнитный держатель</x:v>
      </x:c>
      <x:c r="B9" s="3" t="str">
        <x:v>磁吸支架</x:v>
      </x:c>
      <x:c r="C9" s="3" t="str">
        <x:v>negative</x:v>
      </x:c>
      <x:c r="D9" s="3" t="str">
        <x:v>Не использовать</x:v>
      </x:c>
      <x:c r="E9" s="3" t="str">
        <x:v>negative</x:v>
      </x:c>
    </x:row>
    <x:row r="10" ht="58" customHeight="1">
      <x:c r="A10" s="3" t="str">
        <x:v>#подставка #длятелефона</x:v>
      </x:c>
      <x:c r="B10" s="3" t="str">
        <x:v>标签</x:v>
      </x:c>
      <x:c r="C10" s="3" t="str">
        <x:v>ozon_hashtags</x:v>
      </x:c>
      <x:c r="D10" s="3" t="str">
        <x:v>Только для подходящей модели</x:v>
      </x:c>
      <x:c r="E10" s="3" t="str">
        <x:v>candidate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5" hidden="0" customWidth="1"/>
    <x:col min="3" max="3" width="18" hidden="0" customWidth="1"/>
    <x:col min="4" max="4" width="80" hidden="0" customWidth="1"/>
    <x:col min="5" max="5" width="90" hidden="0" customWidth="1"/>
  </x:cols>
  <x:sheetData>
    <x:row r="1" ht="36" customHeight="1">
      <x:c r="A1" s="5" t="str">
        <x:v>Площадка</x:v>
      </x:c>
      <x:c r="B1" s="5" t="str">
        <x:v>Товар</x:v>
      </x:c>
      <x:c r="C1" s="5" t="str">
        <x:v>Цена, RUB</x:v>
      </x:c>
      <x:c r="D1" s="5" t="str">
        <x:v>URL</x:v>
      </x:c>
      <x:c r="E1" s="5" t="str">
        <x:v>Ограничения</x:v>
      </x:c>
    </x:row>
    <x:row r="2" ht="58" customHeight="1">
      <x:c r="A2" s="3" t="str">
        <x:v>Ozon</x:v>
      </x:c>
      <x:c r="B2" s="3" t="str">
        <x:v>Металлическая складная подставка NVA</x:v>
      </x:c>
      <x:c r="C2" s="3" t="n">
        <x:v>108</x:v>
      </x:c>
      <x:c r="D2" s="3" t="str">
        <x:v>https://www.ozon.ru/category/skladnoy-mini-derzhatel-dlya-telefona/</x:v>
      </x:c>
      <x:c r="E2" s="3" t="str">
        <x:v>Кэш поиска: около месяца; материал/поворот не сопоставлены</x:v>
      </x:c>
    </x:row>
    <x:row r="3" ht="58" customHeight="1">
      <x:c r="A3" s="3" t="str">
        <x:v>Ozon</x:v>
      </x:c>
      <x:c r="B3" s="3" t="str">
        <x:v>Раздвижная подставка для телефона/планшета</x:v>
      </x:c>
      <x:c r="C3" s="3" t="n">
        <x:v>350</x:v>
      </x:c>
      <x:c r="D3" s="3" t="str">
        <x:v>https://www.ozon.ru/category/skladnoy-mini-derzhatel-dlya-telefona/</x:v>
      </x:c>
      <x:c r="E3" s="3" t="str">
        <x:v>Кэш поиска; материал не подтверждён</x:v>
      </x:c>
    </x:row>
    <x:row r="4" ht="58" customHeight="1">
      <x:c r="A4" s="3" t="str">
        <x:v>Ozon</x:v>
      </x:c>
      <x:c r="B4" s="3" t="str">
        <x:v>Складная регулируемая подставка для планшета/телефона</x:v>
      </x:c>
      <x:c r="C4" s="3" t="n">
        <x:v>603</x:v>
      </x:c>
      <x:c r="D4" s="3" t="str">
        <x:v>https://www.ozon.ru/category/reguliruemaya-podstavka-dlya-smartfona-i-plansheta/</x:v>
      </x:c>
      <x:c r="E4" s="3" t="str">
        <x:v>Кэш около двух месяцев; точная модель не подтверждена</x:v>
      </x:c>
    </x:row>
    <x:row r="5" ht="58" customHeight="1">
      <x:c r="A5" s="3" t="str">
        <x:v>Ozon</x:v>
      </x:c>
      <x:c r="B5" s="3" t="str">
        <x:v>Алюминиевая складная подставка для ноутбука</x:v>
      </x:c>
      <x:c r="C5" s="3" t="n">
        <x:v>557</x:v>
      </x:c>
      <x:c r="D5" s="3" t="str">
        <x:v>https://www.ozon.ru/category/podstavka-dlya-noutbuka-mak/</x:v>
      </x:c>
      <x:c r="E5" s="3" t="str">
        <x:v>Кэш около четырёх месяцев; аналог, не подтверждён N3</x:v>
      </x:c>
    </x:row>
    <x:row r="6" ht="58" customHeight="1">
      <x:c r="A6" s="3" t="str">
        <x:v>Ozon</x:v>
      </x:c>
      <x:c r="B6" s="3" t="str">
        <x:v>Металлическая подставка для ноутбука</x:v>
      </x:c>
      <x:c r="C6" s="3" t="n">
        <x:v>560</x:v>
      </x:c>
      <x:c r="D6" s="3" t="str">
        <x:v>https://www.ozon.ru/category/podstavka-dlya-noutbuka-mak/</x:v>
      </x:c>
      <x:c r="E6" s="3" t="str">
        <x:v>Кэш около четырёх месяцев; аналог</x:v>
      </x:c>
    </x:row>
    <x:row r="7" ht="58" customHeight="1">
      <x:c r="A7" s="3" t="str">
        <x:v>Дата проверки</x:v>
      </x:c>
      <x:c r="B7" s="3" t="str">
        <x:v>2026-09-14</x:v>
      </x:c>
      <x:c r="C7" s="3"/>
      <x:c r="D7" s="3" t="str"/>
      <x:c r="E7" s="3" t="str">
        <x:v>Цены из поискового кэша, не текущая цена оформления заказа. Выборка не подтверждает цену точного аналога.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9" hidden="0" customWidth="1"/>
    <x:col min="3" max="3" width="110" hidden="0" customWidth="1"/>
  </x:cols>
  <x:sheetData>
    <x:row r="1" ht="36" customHeight="1">
      <x:c r="A1" s="5" t="str">
        <x:v>Показатель</x:v>
      </x:c>
      <x:c r="B1" s="5" t="str">
        <x:v>Значение</x:v>
      </x:c>
      <x:c r="C1" s="5" t="str">
        <x:v>Основание / пояснение</x:v>
      </x:c>
    </x:row>
    <x:row r="2" ht="58" customHeight="1">
      <x:c r="A2" s="3" t="str">
        <x:v>Закупка, CNY</x:v>
      </x:c>
      <x:c r="B2" s="7"/>
      <x:c r="C2" s="3" t="str">
        <x:v>Нужна цена выбранной модели</x:v>
      </x:c>
    </x:row>
    <x:row r="3" ht="58" customHeight="1">
      <x:c r="A3" s="3" t="str">
        <x:v>Курс RUB/CNY</x:v>
      </x:c>
      <x:c r="B3" s="7" t="n">
        <x:v>12.5519</x:v>
      </x:c>
      <x:c r="C3" s="3" t="str">
        <x:v>Банк России, 12.09.2026; не курс расчётов магазина</x:v>
      </x:c>
    </x:row>
    <x:row r="4" ht="58" customHeight="1">
      <x:c r="A4" s="3" t="str">
        <x:v>Доставка по Китаю, RUB</x:v>
      </x:c>
      <x:c r="B4" s="7"/>
      <x:c r="C4" s="3" t="str">
        <x:v>Нужна цена или явное допущение</x:v>
      </x:c>
    </x:row>
    <x:row r="5" ht="58" customHeight="1">
      <x:c r="A5" s="3" t="str">
        <x:v>Международная доставка, RUB</x:v>
      </x:c>
      <x:c r="B5" s="7"/>
      <x:c r="C5" s="3" t="str">
        <x:v>Нужны схема продаж и вес брутто</x:v>
      </x:c>
    </x:row>
    <x:row r="6" ht="58" customHeight="1">
      <x:c r="A6" s="3" t="str">
        <x:v>Логистика Ozon, RUB</x:v>
      </x:c>
      <x:c r="B6" s="7"/>
      <x:c r="C6" s="3" t="str">
        <x:v>Не учитывать повторно, если включена в международную доставку</x:v>
      </x:c>
    </x:row>
    <x:row r="7" ht="58" customHeight="1">
      <x:c r="A7" s="3" t="str">
        <x:v>Упаковка, RUB</x:v>
      </x:c>
      <x:c r="B7" s="7"/>
      <x:c r="C7" s="3" t="str">
        <x:v>Уточнить</x:v>
      </x:c>
    </x:row>
    <x:row r="8" ht="58" customHeight="1">
      <x:c r="A8" s="3" t="str">
        <x:v>Хранение, RUB</x:v>
      </x:c>
      <x:c r="B8" s="7"/>
      <x:c r="C8" s="3" t="str">
        <x:v>Уточнить; 0 только если неприменимо</x:v>
      </x:c>
    </x:row>
    <x:row r="9" ht="58" customHeight="1">
      <x:c r="A9" s="3" t="str">
        <x:v>Резерв возвратов, RUB</x:v>
      </x:c>
      <x:c r="B9" s="7"/>
      <x:c r="C9" s="3" t="str">
        <x:v>Уточнить</x:v>
      </x:c>
    </x:row>
    <x:row r="10" ht="58" customHeight="1">
      <x:c r="A10" s="3" t="str">
        <x:v>Комиссия Ozon</x:v>
      </x:c>
      <x:c r="B10" s="8"/>
      <x:c r="C10" s="3" t="str">
        <x:v>Тариф выбранной категории и схемы</x:v>
      </x:c>
    </x:row>
    <x:row r="11" ht="58" customHeight="1">
      <x:c r="A11" s="3" t="str">
        <x:v>Налоговая нагрузка на выручку</x:v>
      </x:c>
      <x:c r="B11" s="8"/>
      <x:c r="C11" s="3" t="str">
        <x:v>Зависит от продавца и режима; не ставка по умолчанию</x:v>
      </x:c>
    </x:row>
    <x:row r="12" ht="58" customHeight="1">
      <x:c r="A12" s="3" t="str">
        <x:v>Эквайринг</x:v>
      </x:c>
      <x:c r="B12" s="8"/>
      <x:c r="C12" s="3" t="str">
        <x:v>0, если уже включён в другие сборы</x:v>
      </x:c>
    </x:row>
    <x:row r="13" ht="58" customHeight="1">
      <x:c r="A13" s="3" t="str">
        <x:v>Реклама</x:v>
      </x:c>
      <x:c r="B13" s="8"/>
      <x:c r="C13" s="3" t="str">
        <x:v>Планируемая доля от цены</x:v>
      </x:c>
    </x:row>
    <x:row r="14" ht="58" customHeight="1">
      <x:c r="A14" s="3" t="str">
        <x:v>Резерв курса и комиссий</x:v>
      </x:c>
      <x:c r="B14" s="8"/>
      <x:c r="C14" s="3" t="str">
        <x:v>Планируемая доля от цены</x:v>
      </x:c>
    </x:row>
    <x:row r="15" ht="58" customHeight="1">
      <x:c r="A15" s="3" t="str">
        <x:v>Фиксированные расходы, RUB</x:v>
      </x:c>
      <x:c r="B15" s="3" t="str">
        <x:f>IF(COUNT(B2:B9)&lt;8,"",B2*B3+SUM(B4:B9))</x:f>
      </x:c>
      <x:c r="C15" s="3" t="str">
        <x:v>Рассчитываются после заполнения денежных затрат</x:v>
      </x:c>
    </x:row>
    <x:row r="16" ht="58" customHeight="1">
      <x:c r="A16" s="3" t="str">
        <x:v>Переменные расходы, доля</x:v>
      </x:c>
      <x:c r="B16" s="3" t="str">
        <x:f>IF(COUNT(B10:B14)&lt;5,"",SUM(B10:B14))</x:f>
      </x:c>
      <x:c r="C16" s="3" t="str">
        <x:v>Сумма ставок</x:v>
      </x:c>
    </x:row>
    <x:row r="17" ht="58" customHeight="1">
      <x:c r="A17" s="3" t="str">
        <x:v>Цена для маржи 10%, RUB</x:v>
      </x:c>
      <x:c r="B17" s="3" t="str">
        <x:f>IF(COUNT(B15:B16)&lt;2,"",IF(1-B16-0.1&lt;=0,"Недостижимо",ROUNDUP(B15/(1-B16-0.1),0)))</x:f>
      </x:c>
      <x:c r="C17" s="3" t="str">
        <x:v>Прибыль / выручка</x:v>
      </x:c>
    </x:row>
    <x:row r="18" ht="58" customHeight="1">
      <x:c r="A18" s="3" t="str">
        <x:v>Цена для маржи 20%, RUB</x:v>
      </x:c>
      <x:c r="B18" s="3" t="str">
        <x:f>IF(COUNT(B15:B16)&lt;2,"",IF(1-B16-0.2&lt;=0,"Недостижимо",ROUNDUP(B15/(1-B16-0.2),0)))</x:f>
      </x:c>
      <x:c r="C18" s="3" t="str">
        <x:v>Прибыль / выручка</x:v>
      </x:c>
    </x:row>
    <x:row r="19" ht="58" customHeight="1">
      <x:c r="A19" s="3" t="str">
        <x:v>Цена для маржи 30%, RUB</x:v>
      </x:c>
      <x:c r="B19" s="3" t="str">
        <x:f>IF(COUNT(B15:B16)&lt;2,"",IF(1-B16-0.3&lt;=0,"Недостижимо",ROUNDUP(B15/(1-B16-0.3),0)))</x:f>
      </x:c>
      <x:c r="C19" s="3" t="str">
        <x:v>Прибыль / выручка</x:v>
      </x:c>
    </x:row>
    <x:row r="20" ht="58" customHeight="1">
      <x:c r="A20" s="3" t="str">
        <x:v>Цена для проверки, RUB</x:v>
      </x:c>
      <x:c r="B20" s="3"/>
      <x:c r="C20" s="3" t="str">
        <x:v>Введите планируемую цену</x:v>
      </x:c>
    </x:row>
    <x:row r="21" ht="58" customHeight="1">
      <x:c r="A21" s="3" t="str">
        <x:v>Прибыль при выбранной цене, RUB</x:v>
      </x:c>
      <x:c r="B21" s="3" t="str">
        <x:f>IF(COUNT(B15:B16,B20)&lt;3,"",B20*(1-B16)-B15)</x:f>
      </x:c>
      <x:c r="C21" s="3" t="str">
        <x:v>С учётом введённых расходов</x:v>
      </x:c>
    </x:row>
    <x:row r="22" ht="58" customHeight="1">
      <x:c r="A22" s="3" t="str">
        <x:v>Маржа при выбранной цене</x:v>
      </x:c>
      <x:c r="B22" s="9" t="str">
        <x:f>IF(COUNT(B20:B21)&lt;2,"",IF(B20&lt;=0,"",B21/B20))</x:f>
      </x:c>
      <x:c r="C22" s="3" t="str">
        <x:v>Прибыль / цена</x:v>
      </x:c>
    </x:row>
    <x:row r="23" ht="58" customHeight="1">
      <x:c r="A23" s="3" t="str">
        <x:v>Статус рекомендации</x:v>
      </x:c>
      <x:c r="B23" s="3" t="str">
        <x:v>Ожидается закупочная цена и схема продаж</x:v>
      </x:c>
      <x:c r="C23" s="3" t="str">
        <x:v>Без фактических затрат нельзя обосновать окончательную цену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95" hidden="0" customWidth="1"/>
    <x:col min="3" max="3" width="85" hidden="0" customWidth="1"/>
  </x:cols>
  <x:sheetData>
    <x:row r="1" ht="36" customHeight="1">
      <x:c r="A1" s="5" t="str">
        <x:v>Вопрос</x:v>
      </x:c>
      <x:c r="B1" s="5" t="str">
        <x:v>Причина</x:v>
      </x:c>
      <x:c r="C1" s="5" t="str">
        <x:v>Источник</x:v>
      </x:c>
    </x:row>
    <x:row r="2" ht="58" customHeight="1">
      <x:c r="A2" s="3" t="str">
        <x:v>Какая модель соответствует каждой цене?</x:v>
      </x:c>
      <x:c r="B2" s="3" t="str">
        <x:v>Восемь визуальных групп, не один SKU</x:v>
      </x:c>
      <x:c r="C2" s="3" t="str">
        <x:v>Изображения 186–227</x:v>
      </x:c>
    </x:row>
    <x:row r="3" ht="58" customHeight="1">
      <x:c r="A3" s="3" t="str">
        <x:v>Какова масса брутто и размер коробки?</x:v>
      </x:c>
      <x:c r="B3" s="3" t="str">
        <x:v>226 / 243,2 / 1000 г не взаимозаменяемы</x:v>
      </x:c>
      <x:c r="C3" s="3" t="str">
        <x:v>186, 194, 227</x:v>
      </x:c>
    </x:row>
    <x:row r="4" ht="58" customHeight="1">
      <x:c r="A4" s="3" t="str">
        <x:v>Какой сплав и материал панели?</x:v>
      </x:c>
      <x:c r="B4" s="3" t="str">
        <x:v>Разные конструкции; нельзя переносить материалы</x:v>
      </x:c>
      <x:c r="C4" s="3" t="str">
        <x:v>194, 204, 221, 222</x:v>
      </x:c>
    </x:row>
    <x:row r="5" ht="58" customHeight="1">
      <x:c r="A5" s="3" t="str">
        <x:v>Подтверждена ли гарантия?</x:v>
      </x:c>
      <x:c r="B5" s="3" t="str">
        <x:v>Не использовать 1 год / 10 лет без подтверждения</x:v>
      </x:c>
      <x:c r="C5" s="3" t="str">
        <x:v>212, 206</x:v>
      </x:c>
    </x:row>
    <x:row r="6" ht="58" customHeight="1">
      <x:c r="A6" s="3" t="str">
        <x:v>Каков диапазон совместимых устройств?</x:v>
      </x:c>
      <x:c r="B6" s="3" t="str">
        <x:v>Нет доказанной нагрузки или диагонали</x:v>
      </x:c>
      <x:c r="C6" s="3" t="str">
        <x:v>Материалы поставщика</x:v>
      </x:c>
    </x:row>
    <x:row r="7" ht="58" customHeight="1">
      <x:c r="A7" s="3" t="str">
        <x:v>Какие документы и маркировка требуются?</x:v>
      </x:c>
      <x:c r="B7" s="3" t="str">
        <x:v>Проверить выбранную категорию, данные производителя и импортёра</x:v>
      </x:c>
      <x:c r="C7" s="3" t="str">
        <x:v>До публикации</x:v>
      </x:c>
    </x:row>
    <x:row r="8" ht="58" customHeight="1">
      <x:c r="A8" s="3" t="str">
        <x:v>Какова цена закупки и схема продаж?</x:v>
      </x:c>
      <x:c r="B8" s="3" t="str">
        <x:v>Нужны для обоснованной цены</x:v>
      </x:c>
      <x:c r="C8" s="3" t="str">
        <x:v>Ожидается ответ пользователя</x:v>
      </x:c>
    </x:row>
    <x:row r="9" ht="58" customHeight="1">
      <x:c r="A9" s="3" t="str">
        <x:v>Источник курса</x:v>
      </x:c>
      <x:c r="B9" s="3" t="str">
        <x:v>1 CNY = 12,5519 RUB, 12.09.2026</x:v>
      </x:c>
      <x:c r="C9" s="3" t="str">
        <x:v>https://www.cbr.ru/eng/currency_base/daily/?UniDbQuery.Posted=True&amp;UniDbQuery.To=12.09.2026</x:v>
      </x:c>
    </x:row>
  </x:sheetData>
  <x:pageMargins left="0.7" right="0.7" top="0.75" bottom="0.75" header="0.3" footer="0.3"/>
</x:worksheet>
</file>